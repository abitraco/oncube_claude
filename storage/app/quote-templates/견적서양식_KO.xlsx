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ce\Downloads\"/>
    </mc:Choice>
  </mc:AlternateContent>
  <xr:revisionPtr revIDLastSave="0" documentId="8_{CF03F0D0-668B-468B-9EEF-D91F8EEA2BFC}" xr6:coauthVersionLast="47" xr6:coauthVersionMax="47" xr10:uidLastSave="{00000000-0000-0000-0000-000000000000}"/>
  <bookViews>
    <workbookView xWindow="17880" yWindow="-15195" windowWidth="25020" windowHeight="14415" xr2:uid="{F4EB9181-1024-453E-A768-CCDDA89AFBB4}"/>
  </bookViews>
  <sheets>
    <sheet name="견적서양식-KR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I17" i="1"/>
  <c r="I16" i="1"/>
  <c r="I15" i="1"/>
  <c r="I23" i="1" s="1"/>
  <c r="I26" i="1" l="1"/>
  <c r="I25" i="1"/>
</calcChain>
</file>

<file path=xl/sharedStrings.xml><?xml version="1.0" encoding="utf-8"?>
<sst xmlns="http://schemas.openxmlformats.org/spreadsheetml/2006/main" count="42" uniqueCount="42">
  <si>
    <t>Quotation</t>
    <phoneticPr fontId="3" type="noConversion"/>
  </si>
  <si>
    <t>Quote Number</t>
    <phoneticPr fontId="3" type="noConversion"/>
  </si>
  <si>
    <t>OGQT-250527-002</t>
    <phoneticPr fontId="3" type="noConversion"/>
  </si>
  <si>
    <t>98, Gasan digital 2-ro</t>
    <phoneticPr fontId="3" type="noConversion"/>
  </si>
  <si>
    <t>Quote Date</t>
    <phoneticPr fontId="3" type="noConversion"/>
  </si>
  <si>
    <t>05/27/2025 KST</t>
    <phoneticPr fontId="3" type="noConversion"/>
  </si>
  <si>
    <t>Unit 2-209, 2F, IT Castle</t>
    <phoneticPr fontId="3" type="noConversion"/>
  </si>
  <si>
    <t>Validity</t>
    <phoneticPr fontId="3" type="noConversion"/>
  </si>
  <si>
    <t>10 Days</t>
    <phoneticPr fontId="3" type="noConversion"/>
  </si>
  <si>
    <t>Geumcheon-gu, Seoul 08506, Korea</t>
    <phoneticPr fontId="3" type="noConversion"/>
  </si>
  <si>
    <t>Quote to</t>
    <phoneticPr fontId="3" type="noConversion"/>
  </si>
  <si>
    <t>Ship from</t>
    <phoneticPr fontId="3" type="noConversion"/>
  </si>
  <si>
    <t>OOO</t>
    <phoneticPr fontId="3" type="noConversion"/>
  </si>
  <si>
    <t>온큐브글로벌</t>
    <phoneticPr fontId="3" type="noConversion"/>
  </si>
  <si>
    <t>OO OOO OOO</t>
    <phoneticPr fontId="3" type="noConversion"/>
  </si>
  <si>
    <t>서울시 금천구 가산디지털2로 98, 2동 209호</t>
    <phoneticPr fontId="3" type="noConversion"/>
  </si>
  <si>
    <r>
      <t>ATTN. OOO</t>
    </r>
    <r>
      <rPr>
        <b/>
        <sz val="9"/>
        <color theme="1"/>
        <rFont val="맑은 고딕"/>
        <family val="2"/>
        <charset val="129"/>
      </rPr>
      <t xml:space="preserve"> 대표님</t>
    </r>
    <phoneticPr fontId="3" type="noConversion"/>
  </si>
  <si>
    <t>(Currency: KRW)</t>
    <phoneticPr fontId="3" type="noConversion"/>
  </si>
  <si>
    <t>No.</t>
    <phoneticPr fontId="3" type="noConversion"/>
  </si>
  <si>
    <t>P/N</t>
    <phoneticPr fontId="3" type="noConversion"/>
  </si>
  <si>
    <t>Description</t>
    <phoneticPr fontId="3" type="noConversion"/>
  </si>
  <si>
    <t>Unit Price</t>
  </si>
  <si>
    <t>Q'ty</t>
  </si>
  <si>
    <t>Amount</t>
  </si>
  <si>
    <t>YPP105E YT204001-FK</t>
    <phoneticPr fontId="3" type="noConversion"/>
  </si>
  <si>
    <t>Used Tested board for ABB YPP105E YT204001-FK</t>
    <phoneticPr fontId="3" type="noConversion"/>
  </si>
  <si>
    <t>3ADC340074P0001</t>
    <phoneticPr fontId="3" type="noConversion"/>
  </si>
  <si>
    <t>New 3ADC340074P0001 THYRISTOR ABB MODULE</t>
    <phoneticPr fontId="3" type="noConversion"/>
  </si>
  <si>
    <t xml:space="preserve">5STP18F1800 </t>
    <phoneticPr fontId="3" type="noConversion"/>
  </si>
  <si>
    <t>New 5STP18F1800 THYRISTOR ABB MODULE</t>
    <phoneticPr fontId="3" type="noConversion"/>
  </si>
  <si>
    <t>TT250N18KOF</t>
    <phoneticPr fontId="3" type="noConversion"/>
  </si>
  <si>
    <t>New INFINEON/EUPEC Module TT250N18KOF</t>
    <phoneticPr fontId="3" type="noConversion"/>
  </si>
  <si>
    <r>
      <rPr>
        <b/>
        <sz val="9"/>
        <color theme="1"/>
        <rFont val="Arial"/>
        <family val="2"/>
      </rPr>
      <t>TERMS &amp; CONDITIONS</t>
    </r>
    <r>
      <rPr>
        <sz val="9"/>
        <color theme="1"/>
        <rFont val="Arial"/>
        <family val="2"/>
      </rPr>
      <t xml:space="preserve">
- Payment: </t>
    </r>
    <r>
      <rPr>
        <sz val="9"/>
        <color theme="1"/>
        <rFont val="Arial Unicode MS"/>
        <family val="2"/>
        <charset val="129"/>
      </rPr>
      <t>발주시</t>
    </r>
    <r>
      <rPr>
        <sz val="9"/>
        <color theme="1"/>
        <rFont val="Arial"/>
        <family val="2"/>
      </rPr>
      <t xml:space="preserve"> 100% </t>
    </r>
    <r>
      <rPr>
        <sz val="9"/>
        <color theme="1"/>
        <rFont val="Arial Unicode MS"/>
        <family val="2"/>
        <charset val="129"/>
      </rPr>
      <t>결제</t>
    </r>
    <r>
      <rPr>
        <sz val="9"/>
        <color theme="1"/>
        <rFont val="Arial"/>
        <family val="2"/>
      </rPr>
      <t xml:space="preserve">
- Lead time: </t>
    </r>
    <r>
      <rPr>
        <sz val="9"/>
        <color theme="1"/>
        <rFont val="Arial Unicode MS"/>
        <family val="2"/>
        <charset val="129"/>
      </rPr>
      <t>발주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Arial Unicode MS"/>
        <family val="2"/>
        <charset val="129"/>
      </rPr>
      <t>후</t>
    </r>
    <r>
      <rPr>
        <sz val="9"/>
        <color theme="1"/>
        <rFont val="Arial"/>
        <family val="2"/>
      </rPr>
      <t xml:space="preserve"> 7~10</t>
    </r>
    <r>
      <rPr>
        <sz val="9"/>
        <color theme="1"/>
        <rFont val="맑은 고딕"/>
        <family val="2"/>
        <charset val="129"/>
      </rPr>
      <t>일
- Condition: New</t>
    </r>
    <r>
      <rPr>
        <sz val="9"/>
        <color theme="1"/>
        <rFont val="Arial"/>
        <family val="2"/>
      </rPr>
      <t xml:space="preserve">
-  </t>
    </r>
    <r>
      <rPr>
        <sz val="9"/>
        <color theme="1"/>
        <rFont val="맑은 고딕"/>
        <family val="2"/>
        <charset val="129"/>
      </rPr>
      <t>견적금액은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상품금액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</rPr>
      <t>현지화물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핸들링비용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</rPr>
      <t>국제운송료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</rPr>
      <t>수입세금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</rPr>
      <t>국내화물비용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</rPr>
      <t>통관수수료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모든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비용이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포함된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금액입니다</t>
    </r>
    <r>
      <rPr>
        <sz val="9"/>
        <color theme="1"/>
        <rFont val="Arial"/>
        <family val="2"/>
      </rPr>
      <t xml:space="preserve">.
- </t>
    </r>
    <r>
      <rPr>
        <sz val="9"/>
        <color theme="1"/>
        <rFont val="맑은 고딕"/>
        <family val="2"/>
        <charset val="129"/>
      </rPr>
      <t>상품금액이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공급업체로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결제된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이후에는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주문취소가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불가합니다</t>
    </r>
    <r>
      <rPr>
        <sz val="9"/>
        <color theme="1"/>
        <rFont val="Arial"/>
        <family val="2"/>
      </rPr>
      <t xml:space="preserve">.
- </t>
    </r>
    <r>
      <rPr>
        <sz val="9"/>
        <color theme="1"/>
        <rFont val="맑은 고딕"/>
        <family val="2"/>
        <charset val="129"/>
      </rPr>
      <t>정보확인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미흡으로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발생되는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문제는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폐사에서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책임질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없습니다</t>
    </r>
    <r>
      <rPr>
        <sz val="9"/>
        <color theme="1"/>
        <rFont val="Arial"/>
        <family val="2"/>
      </rPr>
      <t>.(</t>
    </r>
    <r>
      <rPr>
        <sz val="9"/>
        <color theme="1"/>
        <rFont val="맑은 고딕"/>
        <family val="2"/>
        <charset val="129"/>
      </rPr>
      <t>부품유무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</rPr>
      <t>모양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</rPr>
      <t>작동조건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</rPr>
      <t>작동상태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등</t>
    </r>
    <r>
      <rPr>
        <sz val="9"/>
        <color theme="1"/>
        <rFont val="Arial"/>
        <family val="2"/>
      </rPr>
      <t>)</t>
    </r>
    <phoneticPr fontId="3" type="noConversion"/>
  </si>
  <si>
    <t>Subtotal</t>
    <phoneticPr fontId="3" type="noConversion"/>
  </si>
  <si>
    <t>Shipping</t>
    <phoneticPr fontId="3" type="noConversion"/>
  </si>
  <si>
    <t>VAT</t>
    <phoneticPr fontId="3" type="noConversion"/>
  </si>
  <si>
    <t>TOTAL</t>
    <phoneticPr fontId="3" type="noConversion"/>
  </si>
  <si>
    <t>Company: Oncube Global</t>
    <phoneticPr fontId="3" type="noConversion"/>
  </si>
  <si>
    <t>Business No.: 416-19-94501</t>
    <phoneticPr fontId="3" type="noConversion"/>
  </si>
  <si>
    <t>Email: oncube2019@gmail.com</t>
    <phoneticPr fontId="3" type="noConversion"/>
  </si>
  <si>
    <t>Phone: +82-10-4846-0846</t>
    <phoneticPr fontId="3" type="noConversion"/>
  </si>
  <si>
    <t>Thank you for your business!!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</si>
</sst>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_-&quot;₩&quot;* #,##0_-;\-&quot;₩&quot;* #,##0_-;_-&quot;₩&quot;* &quot;-&quot;_-;_-@_-"/>
  </numFmts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4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24"/>
      <color theme="1"/>
      <name val="Arial Narrow"/>
      <family val="2"/>
    </font>
    <font>
      <b/>
      <sz val="24"/>
      <color theme="1"/>
      <name val="Bahnschrift SemiBold Condensed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20"/>
      <color theme="1"/>
      <name val="Arial Black"/>
      <family val="2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2"/>
      <charset val="129"/>
    </font>
    <font>
      <sz val="9"/>
      <color theme="1"/>
      <name val="맑은 고딕"/>
      <family val="2"/>
      <charset val="129"/>
    </font>
    <font>
      <b/>
      <sz val="11"/>
      <color theme="1"/>
      <name val="Arial"/>
      <family val="2"/>
    </font>
    <font>
      <sz val="7"/>
      <color theme="1"/>
      <name val="맑은 고딕"/>
      <family val="2"/>
      <charset val="129"/>
    </font>
    <font>
      <sz val="8"/>
      <color theme="1"/>
      <name val="맑은 고딕"/>
      <family val="2"/>
      <charset val="129"/>
    </font>
    <font>
      <sz val="9"/>
      <color theme="1"/>
      <name val="돋움"/>
      <family val="3"/>
      <charset val="129"/>
    </font>
    <font>
      <sz val="9"/>
      <color theme="1"/>
      <name val="Arial Unicode MS"/>
      <family val="2"/>
      <charset val="129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49" fontId="7" fillId="0" borderId="2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right" vertical="center"/>
    </xf>
    <xf numFmtId="49" fontId="7" fillId="0" borderId="0" xfId="0" applyNumberFormat="1" applyFont="1">
      <alignment vertical="center"/>
    </xf>
    <xf numFmtId="0" fontId="9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0" fillId="0" borderId="6" xfId="0" applyBorder="1">
      <alignment vertical="center"/>
    </xf>
    <xf numFmtId="0" fontId="10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2" fillId="0" borderId="0" xfId="0" applyFont="1" applyAlignment="1">
      <alignment vertical="center" wrapText="1"/>
    </xf>
    <xf numFmtId="0" fontId="12" fillId="0" borderId="0" xfId="0" applyFont="1">
      <alignment vertical="center"/>
    </xf>
    <xf numFmtId="49" fontId="7" fillId="0" borderId="0" xfId="0" applyNumberFormat="1" applyFont="1" applyAlignment="1">
      <alignment horizontal="left" vertical="center" wrapText="1"/>
    </xf>
    <xf numFmtId="49" fontId="7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righ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shrinkToFit="1"/>
    </xf>
    <xf numFmtId="0" fontId="7" fillId="0" borderId="7" xfId="0" applyFont="1" applyBorder="1" applyAlignment="1">
      <alignment horizontal="left" vertical="center" shrinkToFit="1"/>
    </xf>
    <xf numFmtId="0" fontId="7" fillId="0" borderId="0" xfId="0" applyFont="1" applyAlignment="1">
      <alignment horizontal="left" vertical="center" shrinkToFit="1"/>
    </xf>
    <xf numFmtId="0" fontId="7" fillId="0" borderId="8" xfId="0" applyFont="1" applyBorder="1" applyAlignment="1">
      <alignment horizontal="left" vertical="center" shrinkToFit="1"/>
    </xf>
    <xf numFmtId="176" fontId="7" fillId="0" borderId="13" xfId="1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13" fillId="0" borderId="6" xfId="0" quotePrefix="1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176" fontId="7" fillId="0" borderId="6" xfId="1" applyFont="1" applyBorder="1" applyAlignment="1">
      <alignment vertical="center"/>
    </xf>
    <xf numFmtId="0" fontId="14" fillId="0" borderId="6" xfId="0" quotePrefix="1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77" fontId="7" fillId="0" borderId="6" xfId="2" applyFont="1" applyBorder="1" applyAlignment="1">
      <alignment vertical="center"/>
    </xf>
    <xf numFmtId="0" fontId="7" fillId="0" borderId="14" xfId="0" applyFont="1" applyBorder="1" applyAlignment="1">
      <alignment horizontal="center" vertical="center"/>
    </xf>
    <xf numFmtId="177" fontId="7" fillId="0" borderId="14" xfId="2" applyFont="1" applyBorder="1" applyAlignment="1">
      <alignment vertical="center"/>
    </xf>
    <xf numFmtId="176" fontId="7" fillId="0" borderId="14" xfId="1" applyFont="1" applyBorder="1" applyAlignment="1">
      <alignment vertical="center"/>
    </xf>
    <xf numFmtId="0" fontId="7" fillId="0" borderId="15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/>
    </xf>
    <xf numFmtId="0" fontId="7" fillId="0" borderId="10" xfId="0" applyFont="1" applyBorder="1" applyAlignment="1">
      <alignment horizontal="left" vertical="top"/>
    </xf>
    <xf numFmtId="0" fontId="7" fillId="0" borderId="2" xfId="0" applyFont="1" applyBorder="1">
      <alignment vertical="center"/>
    </xf>
    <xf numFmtId="0" fontId="7" fillId="0" borderId="7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7" fillId="0" borderId="1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12" xfId="0" applyFont="1" applyBorder="1" applyAlignment="1">
      <alignment horizontal="left" vertical="top"/>
    </xf>
    <xf numFmtId="0" fontId="17" fillId="0" borderId="2" xfId="0" applyFont="1" applyBorder="1">
      <alignment vertical="center"/>
    </xf>
    <xf numFmtId="176" fontId="6" fillId="0" borderId="2" xfId="1" applyFont="1" applyBorder="1">
      <alignment vertical="center"/>
    </xf>
    <xf numFmtId="0" fontId="6" fillId="0" borderId="0" xfId="0" applyFont="1">
      <alignment vertical="center"/>
    </xf>
    <xf numFmtId="0" fontId="7" fillId="0" borderId="16" xfId="0" applyFont="1" applyBorder="1" applyAlignment="1"/>
    <xf numFmtId="0" fontId="7" fillId="0" borderId="16" xfId="0" applyFont="1" applyBorder="1">
      <alignment vertical="center"/>
    </xf>
    <xf numFmtId="0" fontId="7" fillId="0" borderId="17" xfId="0" applyFont="1" applyBorder="1" applyAlignment="1"/>
    <xf numFmtId="0" fontId="6" fillId="0" borderId="0" xfId="0" applyFont="1" applyAlignment="1">
      <alignment horizontal="center" vertical="center"/>
    </xf>
    <xf numFmtId="0" fontId="18" fillId="0" borderId="0" xfId="0" applyFont="1">
      <alignment vertical="center"/>
    </xf>
  </cellXfs>
  <cellStyles count="3">
    <cellStyle name="쉼표 [0]" xfId="1" builtinId="6"/>
    <cellStyle name="통화 [0]" xfId="2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691515</xdr:colOff>
      <xdr:row>1</xdr:row>
      <xdr:rowOff>22858</xdr:rowOff>
    </xdr:from>
    <xdr:to>
      <xdr:col>9</xdr:col>
      <xdr:colOff>131582</xdr:colOff>
      <xdr:row>2</xdr:row>
      <xdr:rowOff>249207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DE59DA7-ED37-4F5A-BC86-D5675B52A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7047" y="172537"/>
          <a:ext cx="2141085" cy="1457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A0956-6F0D-41EC-AD62-8B94A5648640}">
  <dimension ref="A1:N85"/>
  <sheetViews>
    <sheetView showGridLines="0" tabSelected="1" workbookViewId="0">
      <selection activeCell="N20" sqref="N20"/>
    </sheetView>
  </sheetViews>
  <sheetFormatPr defaultRowHeight="17.600000000000001"/>
  <cols>
    <col min="1" max="1" width="2.5703125" customWidth="1"/>
    <col min="2" max="2" width="4" customWidth="1"/>
    <col min="3" max="3" width="11.0703125" customWidth="1"/>
    <col min="4" max="4" width="23.0703125" customWidth="1"/>
    <col min="5" max="5" width="2.5" customWidth="1"/>
    <col min="6" max="6" width="8.92578125" customWidth="1"/>
    <col min="7" max="7" width="11.5703125" customWidth="1"/>
    <col min="8" max="8" width="9.2109375" customWidth="1"/>
    <col min="9" max="9" width="14.5703125" customWidth="1"/>
    <col min="10" max="10" width="2.78515625" customWidth="1"/>
  </cols>
  <sheetData>
    <row r="1" spans="1:14" ht="12" customHeight="1">
      <c r="A1" s="1"/>
      <c r="B1" s="1"/>
      <c r="C1" s="1"/>
      <c r="D1" s="1"/>
      <c r="E1" s="1"/>
      <c r="F1" s="1"/>
      <c r="G1" s="1"/>
      <c r="H1" s="1"/>
      <c r="I1" s="1"/>
    </row>
    <row r="2" spans="1:14" ht="97.2" customHeight="1">
      <c r="A2" s="2"/>
      <c r="B2" s="3"/>
      <c r="C2" s="3"/>
      <c r="D2" s="3"/>
      <c r="E2" s="2"/>
      <c r="F2" s="2"/>
      <c r="G2" s="4"/>
      <c r="H2" s="4"/>
      <c r="I2" s="4"/>
    </row>
    <row r="3" spans="1:14" ht="30">
      <c r="A3" s="2"/>
      <c r="B3" s="5" t="s">
        <v>0</v>
      </c>
      <c r="C3" s="5"/>
      <c r="D3" s="5"/>
      <c r="E3" s="2"/>
      <c r="F3" s="2"/>
      <c r="G3" s="4"/>
      <c r="H3" s="4"/>
      <c r="I3" s="4"/>
    </row>
    <row r="4" spans="1:14" ht="15" customHeight="1">
      <c r="B4" s="6" t="s">
        <v>1</v>
      </c>
      <c r="C4" s="6"/>
      <c r="D4" s="7" t="s">
        <v>2</v>
      </c>
      <c r="E4" s="8"/>
      <c r="F4" s="8"/>
      <c r="H4" s="8"/>
      <c r="I4" s="9" t="s">
        <v>3</v>
      </c>
    </row>
    <row r="5" spans="1:14" ht="15" customHeight="1">
      <c r="B5" s="6" t="s">
        <v>4</v>
      </c>
      <c r="C5" s="6"/>
      <c r="D5" s="10" t="s">
        <v>5</v>
      </c>
      <c r="E5" s="11"/>
      <c r="F5" s="11"/>
      <c r="H5" s="12"/>
      <c r="I5" s="13" t="s">
        <v>6</v>
      </c>
      <c r="J5" s="14"/>
    </row>
    <row r="6" spans="1:14" ht="15" customHeight="1">
      <c r="B6" s="6" t="s">
        <v>7</v>
      </c>
      <c r="C6" s="6"/>
      <c r="D6" s="10" t="s">
        <v>8</v>
      </c>
      <c r="E6" s="11"/>
      <c r="F6" s="11"/>
      <c r="H6" s="12"/>
      <c r="I6" s="9" t="s">
        <v>9</v>
      </c>
    </row>
    <row r="7" spans="1:14" ht="15" customHeight="1">
      <c r="B7" s="15"/>
      <c r="E7" s="11"/>
      <c r="F7" s="11"/>
      <c r="G7" s="16"/>
      <c r="H7" s="16"/>
      <c r="I7" s="11"/>
    </row>
    <row r="8" spans="1:14" ht="15" customHeight="1">
      <c r="B8" s="17" t="s">
        <v>10</v>
      </c>
      <c r="C8" s="18"/>
      <c r="D8" s="19"/>
      <c r="E8" s="20"/>
      <c r="F8" s="17" t="s">
        <v>11</v>
      </c>
      <c r="G8" s="18"/>
      <c r="H8" s="18"/>
      <c r="I8" s="19"/>
    </row>
    <row r="9" spans="1:14" ht="15" customHeight="1">
      <c r="B9" s="21" t="s">
        <v>12</v>
      </c>
      <c r="C9" s="12"/>
      <c r="D9" s="22"/>
      <c r="E9" s="20"/>
      <c r="F9" s="21" t="s">
        <v>13</v>
      </c>
      <c r="G9" s="23"/>
      <c r="H9" s="23"/>
      <c r="I9" s="24"/>
    </row>
    <row r="10" spans="1:14">
      <c r="B10" s="25" t="s">
        <v>14</v>
      </c>
      <c r="C10" s="26"/>
      <c r="D10" s="26"/>
      <c r="E10" s="20"/>
      <c r="F10" s="25" t="s">
        <v>15</v>
      </c>
      <c r="G10" s="26"/>
      <c r="H10" s="26"/>
      <c r="I10" s="27"/>
    </row>
    <row r="11" spans="1:14" ht="18" customHeight="1">
      <c r="B11" s="28"/>
      <c r="C11" s="29"/>
      <c r="D11" s="30"/>
      <c r="E11" s="20"/>
      <c r="F11" s="28"/>
      <c r="G11" s="29"/>
      <c r="H11" s="29"/>
      <c r="I11" s="30"/>
      <c r="N11" s="11"/>
    </row>
    <row r="12" spans="1:14" ht="18" customHeight="1">
      <c r="B12" s="12"/>
      <c r="C12" s="12"/>
      <c r="D12" s="12"/>
      <c r="F12" s="12"/>
      <c r="G12" s="12"/>
      <c r="H12" s="12"/>
      <c r="I12" s="12"/>
      <c r="N12" s="11"/>
    </row>
    <row r="13" spans="1:14" ht="18" customHeight="1">
      <c r="B13" s="31" t="s">
        <v>16</v>
      </c>
      <c r="C13" s="32"/>
      <c r="D13" s="33"/>
      <c r="E13" s="34"/>
      <c r="F13" s="34"/>
      <c r="G13" s="34"/>
      <c r="H13" s="35"/>
      <c r="I13" s="36" t="s">
        <v>17</v>
      </c>
      <c r="N13" s="11"/>
    </row>
    <row r="14" spans="1:14">
      <c r="B14" s="37" t="s">
        <v>18</v>
      </c>
      <c r="C14" s="38" t="s">
        <v>19</v>
      </c>
      <c r="D14" s="39" t="s">
        <v>20</v>
      </c>
      <c r="E14" s="40"/>
      <c r="F14" s="41"/>
      <c r="G14" s="37" t="s">
        <v>21</v>
      </c>
      <c r="H14" s="37" t="s">
        <v>22</v>
      </c>
      <c r="I14" s="37" t="s">
        <v>23</v>
      </c>
      <c r="N14" s="11"/>
    </row>
    <row r="15" spans="1:14" ht="16.5" customHeight="1">
      <c r="B15" s="42">
        <v>1</v>
      </c>
      <c r="C15" s="43" t="s">
        <v>24</v>
      </c>
      <c r="D15" s="44" t="s">
        <v>25</v>
      </c>
      <c r="E15" s="45"/>
      <c r="F15" s="46"/>
      <c r="G15" s="47">
        <v>3000000</v>
      </c>
      <c r="H15" s="47">
        <v>1</v>
      </c>
      <c r="I15" s="47">
        <f>G15*H15</f>
        <v>3000000</v>
      </c>
      <c r="N15" s="11"/>
    </row>
    <row r="16" spans="1:14" ht="17.399999999999999" customHeight="1">
      <c r="B16" s="48">
        <v>2</v>
      </c>
      <c r="C16" s="49" t="s">
        <v>26</v>
      </c>
      <c r="D16" s="50" t="s">
        <v>27</v>
      </c>
      <c r="E16" s="16"/>
      <c r="F16" s="51"/>
      <c r="G16" s="52">
        <v>350000</v>
      </c>
      <c r="H16" s="52">
        <v>8</v>
      </c>
      <c r="I16" s="52">
        <f t="shared" ref="I16:I18" si="0">G16*H16</f>
        <v>2800000</v>
      </c>
    </row>
    <row r="17" spans="2:9">
      <c r="B17" s="48">
        <v>3</v>
      </c>
      <c r="C17" s="53" t="s">
        <v>28</v>
      </c>
      <c r="D17" s="50" t="s">
        <v>29</v>
      </c>
      <c r="E17" s="16"/>
      <c r="F17" s="51"/>
      <c r="G17" s="52">
        <v>330000</v>
      </c>
      <c r="H17" s="52">
        <v>6</v>
      </c>
      <c r="I17" s="52">
        <f t="shared" si="0"/>
        <v>1980000</v>
      </c>
    </row>
    <row r="18" spans="2:9">
      <c r="B18" s="48">
        <v>4</v>
      </c>
      <c r="C18" s="53" t="s">
        <v>30</v>
      </c>
      <c r="D18" s="50" t="s">
        <v>31</v>
      </c>
      <c r="E18" s="16"/>
      <c r="F18" s="51"/>
      <c r="G18" s="52">
        <v>110000</v>
      </c>
      <c r="H18" s="52">
        <v>12</v>
      </c>
      <c r="I18" s="52">
        <f t="shared" si="0"/>
        <v>1320000</v>
      </c>
    </row>
    <row r="19" spans="2:9">
      <c r="B19" s="48"/>
      <c r="C19" s="54"/>
      <c r="D19" s="50"/>
      <c r="E19" s="16"/>
      <c r="F19" s="51"/>
      <c r="G19" s="55"/>
      <c r="H19" s="52"/>
      <c r="I19" s="52"/>
    </row>
    <row r="20" spans="2:9">
      <c r="B20" s="48"/>
      <c r="C20" s="54"/>
      <c r="G20" s="55"/>
      <c r="H20" s="52"/>
      <c r="I20" s="52"/>
    </row>
    <row r="21" spans="2:9">
      <c r="B21" s="48"/>
      <c r="C21" s="54"/>
      <c r="G21" s="55"/>
      <c r="H21" s="52"/>
      <c r="I21" s="52"/>
    </row>
    <row r="22" spans="2:9">
      <c r="B22" s="56"/>
      <c r="C22" s="56"/>
      <c r="D22" s="50"/>
      <c r="E22" s="16"/>
      <c r="F22" s="51"/>
      <c r="G22" s="57"/>
      <c r="H22" s="58"/>
      <c r="I22" s="58"/>
    </row>
    <row r="23" spans="2:9" ht="31.1" customHeight="1">
      <c r="B23" s="59" t="s">
        <v>32</v>
      </c>
      <c r="C23" s="60"/>
      <c r="D23" s="60"/>
      <c r="E23" s="60"/>
      <c r="F23" s="60"/>
      <c r="G23" s="61"/>
      <c r="H23" s="62" t="s">
        <v>33</v>
      </c>
      <c r="I23" s="47">
        <f>SUM(I15:I22)</f>
        <v>9100000</v>
      </c>
    </row>
    <row r="24" spans="2:9" ht="31.1" customHeight="1">
      <c r="B24" s="63"/>
      <c r="C24" s="64"/>
      <c r="D24" s="64"/>
      <c r="E24" s="64"/>
      <c r="F24" s="64"/>
      <c r="G24" s="65"/>
      <c r="H24" s="62" t="s">
        <v>34</v>
      </c>
      <c r="I24" s="47">
        <v>0</v>
      </c>
    </row>
    <row r="25" spans="2:9" ht="31.1" customHeight="1">
      <c r="B25" s="63"/>
      <c r="C25" s="64"/>
      <c r="D25" s="64"/>
      <c r="E25" s="64"/>
      <c r="F25" s="64"/>
      <c r="G25" s="65"/>
      <c r="H25" s="62" t="s">
        <v>35</v>
      </c>
      <c r="I25" s="47">
        <f>I23*0.1</f>
        <v>910000</v>
      </c>
    </row>
    <row r="26" spans="2:9" ht="31.1" customHeight="1">
      <c r="B26" s="66"/>
      <c r="C26" s="67"/>
      <c r="D26" s="67"/>
      <c r="E26" s="67"/>
      <c r="F26" s="67"/>
      <c r="G26" s="68"/>
      <c r="H26" s="69" t="s">
        <v>36</v>
      </c>
      <c r="I26" s="70">
        <f>SUM(I23:I25)</f>
        <v>10010000</v>
      </c>
    </row>
    <row r="27" spans="2:9">
      <c r="B27" s="11"/>
      <c r="C27" s="11"/>
      <c r="D27" s="11"/>
      <c r="E27" s="11"/>
      <c r="F27" s="11"/>
      <c r="G27" s="11"/>
      <c r="H27" s="11"/>
      <c r="I27" s="11"/>
    </row>
    <row r="28" spans="2:9" ht="18" thickBot="1">
      <c r="B28" s="71"/>
      <c r="C28" s="71"/>
      <c r="D28" s="11"/>
      <c r="E28" s="11"/>
      <c r="F28" s="11"/>
      <c r="G28" s="72" t="s">
        <v>37</v>
      </c>
      <c r="H28" s="73"/>
      <c r="I28" s="73"/>
    </row>
    <row r="29" spans="2:9" ht="18.45" thickTop="1" thickBot="1">
      <c r="B29" s="11"/>
      <c r="C29" s="11"/>
      <c r="D29" s="11"/>
      <c r="E29" s="11"/>
      <c r="F29" s="11"/>
      <c r="G29" s="74" t="s">
        <v>38</v>
      </c>
      <c r="H29" s="73"/>
      <c r="I29" s="73"/>
    </row>
    <row r="30" spans="2:9" ht="18.45" thickTop="1" thickBot="1">
      <c r="B30" s="14"/>
      <c r="C30" s="14"/>
      <c r="D30" s="11"/>
      <c r="E30" s="11"/>
      <c r="F30" s="11"/>
      <c r="G30" s="74" t="s">
        <v>39</v>
      </c>
      <c r="H30" s="73"/>
      <c r="I30" s="73"/>
    </row>
    <row r="31" spans="2:9" ht="18.45" thickTop="1" thickBot="1">
      <c r="B31" s="11"/>
      <c r="C31" s="11"/>
      <c r="D31" s="11"/>
      <c r="E31" s="11"/>
      <c r="F31" s="11"/>
      <c r="G31" s="74" t="s">
        <v>40</v>
      </c>
      <c r="H31" s="73"/>
      <c r="I31" s="73"/>
    </row>
    <row r="32" spans="2:9" ht="18" thickTop="1">
      <c r="B32" s="11"/>
      <c r="C32" s="11"/>
      <c r="D32" s="11"/>
      <c r="E32" s="11"/>
      <c r="F32" s="11"/>
      <c r="G32" s="11"/>
      <c r="H32" s="11"/>
      <c r="I32" s="11"/>
    </row>
    <row r="33" spans="1:9">
      <c r="B33" s="11"/>
      <c r="C33" s="11"/>
      <c r="D33" s="11"/>
      <c r="E33" s="11"/>
      <c r="F33" s="11"/>
      <c r="G33" s="11"/>
      <c r="H33" s="11"/>
      <c r="I33" s="11"/>
    </row>
    <row r="34" spans="1:9">
      <c r="A34" s="75" t="s">
        <v>41</v>
      </c>
      <c r="B34" s="75"/>
      <c r="C34" s="75"/>
      <c r="D34" s="75"/>
      <c r="E34" s="75"/>
      <c r="F34" s="75"/>
      <c r="G34" s="75"/>
      <c r="H34" s="75"/>
      <c r="I34" s="75"/>
    </row>
    <row r="36" spans="1:9">
      <c r="B36" s="11"/>
      <c r="C36" s="11"/>
      <c r="D36" s="11"/>
      <c r="E36" s="11"/>
      <c r="F36" s="11"/>
      <c r="G36" s="11"/>
      <c r="H36" s="11"/>
      <c r="I36" s="11"/>
    </row>
    <row r="37" spans="1:9">
      <c r="B37" s="11"/>
      <c r="C37" s="11"/>
      <c r="D37" s="11"/>
      <c r="E37" s="11"/>
      <c r="F37" s="11"/>
      <c r="G37" s="11"/>
      <c r="H37" s="11"/>
      <c r="I37" s="11"/>
    </row>
    <row r="38" spans="1:9">
      <c r="B38" s="11"/>
      <c r="C38" s="11"/>
      <c r="D38" s="11"/>
      <c r="E38" s="11"/>
      <c r="F38" s="11"/>
      <c r="G38" s="11"/>
      <c r="H38" s="11"/>
      <c r="I38" s="11"/>
    </row>
    <row r="39" spans="1:9">
      <c r="B39" s="11"/>
      <c r="C39" s="11"/>
      <c r="D39" s="11"/>
      <c r="E39" s="11"/>
      <c r="F39" s="11"/>
      <c r="G39" s="11"/>
      <c r="H39" s="11"/>
      <c r="I39" s="11"/>
    </row>
    <row r="40" spans="1:9">
      <c r="B40" s="11"/>
      <c r="C40" s="11"/>
      <c r="D40" s="11"/>
      <c r="E40" s="11"/>
      <c r="F40" s="11"/>
      <c r="G40" s="11"/>
      <c r="H40" s="11"/>
      <c r="I40" s="11"/>
    </row>
    <row r="41" spans="1:9">
      <c r="B41" s="11"/>
      <c r="C41" s="11"/>
      <c r="D41" s="11"/>
      <c r="E41" s="11"/>
      <c r="F41" s="11"/>
      <c r="G41" s="11"/>
      <c r="H41" s="11"/>
      <c r="I41" s="11"/>
    </row>
    <row r="42" spans="1:9">
      <c r="B42" s="11"/>
      <c r="C42" s="11"/>
      <c r="D42" s="11"/>
      <c r="E42" s="11"/>
      <c r="F42" s="11"/>
      <c r="G42" s="11"/>
      <c r="H42" s="11"/>
      <c r="I42" s="11"/>
    </row>
    <row r="43" spans="1:9">
      <c r="B43" s="11"/>
      <c r="C43" s="11"/>
      <c r="D43" s="11"/>
      <c r="E43" s="11"/>
      <c r="F43" s="11"/>
      <c r="G43" s="11"/>
      <c r="H43" s="11"/>
      <c r="I43" s="11"/>
    </row>
    <row r="44" spans="1:9">
      <c r="B44" s="11"/>
      <c r="C44" s="11"/>
      <c r="D44" s="11"/>
      <c r="E44" s="11"/>
      <c r="F44" s="11"/>
      <c r="G44" s="11"/>
      <c r="H44" s="11"/>
      <c r="I44" s="11"/>
    </row>
    <row r="45" spans="1:9">
      <c r="B45" s="11"/>
      <c r="C45" s="11"/>
      <c r="D45" s="11"/>
      <c r="E45" s="11"/>
      <c r="F45" s="11"/>
      <c r="G45" s="11"/>
      <c r="H45" s="11"/>
      <c r="I45" s="11"/>
    </row>
    <row r="46" spans="1:9">
      <c r="B46" s="11"/>
      <c r="C46" s="11"/>
      <c r="D46" s="11"/>
      <c r="E46" s="11"/>
      <c r="F46" s="11"/>
      <c r="G46" s="11"/>
      <c r="H46" s="11"/>
      <c r="I46" s="11"/>
    </row>
    <row r="47" spans="1:9">
      <c r="B47" s="11"/>
      <c r="C47" s="11"/>
      <c r="D47" s="11"/>
      <c r="E47" s="11"/>
      <c r="F47" s="11"/>
      <c r="G47" s="11"/>
      <c r="H47" s="11"/>
      <c r="I47" s="11"/>
    </row>
    <row r="48" spans="1:9">
      <c r="B48" s="11"/>
      <c r="C48" s="11"/>
      <c r="D48" s="11"/>
      <c r="E48" s="11"/>
      <c r="F48" s="11"/>
      <c r="G48" s="11"/>
      <c r="H48" s="11"/>
      <c r="I48" s="11"/>
    </row>
    <row r="49" spans="2:9">
      <c r="B49" s="11"/>
      <c r="C49" s="11"/>
      <c r="D49" s="11"/>
      <c r="E49" s="11"/>
      <c r="F49" s="11"/>
      <c r="G49" s="11"/>
      <c r="H49" s="11"/>
      <c r="I49" s="11"/>
    </row>
    <row r="50" spans="2:9">
      <c r="B50" s="11"/>
      <c r="C50" s="11"/>
      <c r="D50" s="11"/>
      <c r="E50" s="11"/>
      <c r="F50" s="11"/>
      <c r="G50" s="11"/>
      <c r="H50" s="11"/>
      <c r="I50" s="11"/>
    </row>
    <row r="51" spans="2:9">
      <c r="B51" s="11"/>
      <c r="C51" s="11"/>
      <c r="D51" s="11"/>
      <c r="E51" s="11"/>
      <c r="F51" s="11"/>
      <c r="G51" s="11"/>
      <c r="H51" s="11"/>
      <c r="I51" s="11"/>
    </row>
    <row r="52" spans="2:9">
      <c r="B52" s="11"/>
      <c r="C52" s="11"/>
      <c r="D52" s="11"/>
      <c r="E52" s="11"/>
      <c r="F52" s="11"/>
      <c r="G52" s="11"/>
      <c r="H52" s="11"/>
      <c r="I52" s="11"/>
    </row>
    <row r="53" spans="2:9">
      <c r="B53" s="11"/>
      <c r="C53" s="11"/>
      <c r="D53" s="11"/>
      <c r="E53" s="11"/>
      <c r="F53" s="11"/>
      <c r="G53" s="11"/>
      <c r="H53" s="11"/>
      <c r="I53" s="11"/>
    </row>
    <row r="54" spans="2:9">
      <c r="B54" s="11"/>
      <c r="C54" s="11"/>
      <c r="D54" s="11"/>
      <c r="E54" s="11"/>
      <c r="F54" s="11"/>
      <c r="G54" s="11"/>
      <c r="H54" s="11"/>
      <c r="I54" s="11"/>
    </row>
    <row r="55" spans="2:9">
      <c r="B55" s="11"/>
      <c r="C55" s="11"/>
      <c r="D55" s="11"/>
      <c r="E55" s="11"/>
      <c r="F55" s="11"/>
      <c r="G55" s="11"/>
      <c r="H55" s="11"/>
      <c r="I55" s="11"/>
    </row>
    <row r="56" spans="2:9">
      <c r="B56" s="11"/>
      <c r="C56" s="11"/>
      <c r="D56" s="11"/>
      <c r="E56" s="11"/>
      <c r="F56" s="11"/>
      <c r="G56" s="11"/>
      <c r="H56" s="11"/>
      <c r="I56" s="11"/>
    </row>
    <row r="57" spans="2:9">
      <c r="B57" s="11"/>
      <c r="C57" s="11"/>
      <c r="D57" s="11"/>
      <c r="E57" s="11"/>
      <c r="F57" s="11"/>
      <c r="G57" s="11"/>
      <c r="H57" s="11"/>
      <c r="I57" s="11"/>
    </row>
    <row r="58" spans="2:9">
      <c r="B58" s="11"/>
      <c r="C58" s="11"/>
      <c r="D58" s="11"/>
      <c r="E58" s="11"/>
      <c r="F58" s="11"/>
      <c r="G58" s="11"/>
      <c r="H58" s="11"/>
      <c r="I58" s="11"/>
    </row>
    <row r="59" spans="2:9">
      <c r="B59" s="11"/>
      <c r="C59" s="11"/>
      <c r="D59" s="11"/>
      <c r="E59" s="11"/>
      <c r="F59" s="11"/>
      <c r="G59" s="11"/>
      <c r="H59" s="11"/>
      <c r="I59" s="11"/>
    </row>
    <row r="60" spans="2:9">
      <c r="B60" s="11"/>
      <c r="C60" s="11"/>
      <c r="D60" s="11"/>
      <c r="E60" s="11"/>
      <c r="F60" s="11"/>
      <c r="G60" s="11"/>
      <c r="H60" s="11"/>
      <c r="I60" s="11"/>
    </row>
    <row r="61" spans="2:9">
      <c r="B61" s="11"/>
      <c r="C61" s="11"/>
      <c r="D61" s="11"/>
      <c r="E61" s="11"/>
      <c r="F61" s="11"/>
      <c r="G61" s="11"/>
      <c r="H61" s="11"/>
      <c r="I61" s="11"/>
    </row>
    <row r="62" spans="2:9">
      <c r="B62" s="11"/>
      <c r="C62" s="11"/>
      <c r="D62" s="11"/>
      <c r="E62" s="11"/>
      <c r="F62" s="11"/>
      <c r="G62" s="11"/>
      <c r="H62" s="11"/>
      <c r="I62" s="11"/>
    </row>
    <row r="63" spans="2:9">
      <c r="B63" s="11"/>
      <c r="C63" s="11"/>
      <c r="D63" s="11"/>
      <c r="E63" s="11"/>
      <c r="F63" s="11"/>
      <c r="G63" s="11"/>
      <c r="H63" s="11"/>
      <c r="I63" s="11"/>
    </row>
    <row r="64" spans="2:9">
      <c r="B64" s="11"/>
      <c r="C64" s="11"/>
      <c r="D64" s="11"/>
      <c r="E64" s="11"/>
      <c r="F64" s="11"/>
      <c r="G64" s="11"/>
      <c r="H64" s="11"/>
      <c r="I64" s="11"/>
    </row>
    <row r="65" spans="2:9">
      <c r="B65" s="11"/>
      <c r="C65" s="11"/>
      <c r="D65" s="11"/>
      <c r="E65" s="11"/>
      <c r="F65" s="11"/>
      <c r="G65" s="11"/>
      <c r="H65" s="11"/>
      <c r="I65" s="11"/>
    </row>
    <row r="66" spans="2:9">
      <c r="B66" s="11"/>
      <c r="C66" s="11"/>
      <c r="D66" s="11"/>
      <c r="E66" s="11"/>
      <c r="F66" s="11"/>
      <c r="G66" s="11"/>
      <c r="H66" s="11"/>
      <c r="I66" s="11"/>
    </row>
    <row r="67" spans="2:9">
      <c r="B67" s="11"/>
      <c r="C67" s="11"/>
      <c r="D67" s="11"/>
      <c r="E67" s="11"/>
      <c r="F67" s="11"/>
      <c r="G67" s="11"/>
      <c r="H67" s="11"/>
      <c r="I67" s="11"/>
    </row>
    <row r="68" spans="2:9">
      <c r="B68" s="11"/>
      <c r="C68" s="11"/>
      <c r="D68" s="11"/>
      <c r="E68" s="11"/>
      <c r="F68" s="11"/>
      <c r="G68" s="11"/>
      <c r="H68" s="11"/>
      <c r="I68" s="11"/>
    </row>
    <row r="69" spans="2:9">
      <c r="B69" s="11"/>
      <c r="C69" s="11"/>
      <c r="D69" s="11"/>
      <c r="E69" s="11"/>
      <c r="F69" s="11"/>
      <c r="G69" s="11"/>
      <c r="H69" s="11"/>
      <c r="I69" s="11"/>
    </row>
    <row r="70" spans="2:9">
      <c r="B70" s="11"/>
      <c r="C70" s="11"/>
      <c r="D70" s="11"/>
      <c r="E70" s="11"/>
      <c r="F70" s="11"/>
      <c r="G70" s="11"/>
      <c r="H70" s="11"/>
      <c r="I70" s="11"/>
    </row>
    <row r="71" spans="2:9">
      <c r="B71" s="11"/>
      <c r="C71" s="11"/>
      <c r="D71" s="11"/>
      <c r="E71" s="11"/>
      <c r="F71" s="11"/>
      <c r="G71" s="11"/>
      <c r="H71" s="11"/>
      <c r="I71" s="11"/>
    </row>
    <row r="72" spans="2:9">
      <c r="B72" s="11"/>
      <c r="C72" s="11"/>
      <c r="D72" s="11"/>
      <c r="E72" s="11"/>
      <c r="F72" s="11"/>
      <c r="G72" s="11"/>
      <c r="H72" s="11"/>
      <c r="I72" s="11"/>
    </row>
    <row r="73" spans="2:9">
      <c r="B73" s="76"/>
      <c r="C73" s="76"/>
      <c r="D73" s="76"/>
      <c r="E73" s="76"/>
      <c r="F73" s="76"/>
      <c r="G73" s="76"/>
      <c r="H73" s="76"/>
      <c r="I73" s="76"/>
    </row>
    <row r="74" spans="2:9">
      <c r="B74" s="76"/>
      <c r="C74" s="76"/>
      <c r="D74" s="76"/>
      <c r="E74" s="76"/>
      <c r="F74" s="76"/>
      <c r="G74" s="76"/>
      <c r="H74" s="76"/>
      <c r="I74" s="76"/>
    </row>
    <row r="75" spans="2:9">
      <c r="B75" s="76"/>
      <c r="C75" s="76"/>
      <c r="D75" s="76"/>
      <c r="E75" s="76"/>
      <c r="F75" s="76"/>
      <c r="G75" s="76"/>
      <c r="H75" s="76"/>
      <c r="I75" s="76"/>
    </row>
    <row r="76" spans="2:9">
      <c r="B76" s="76"/>
      <c r="C76" s="76"/>
      <c r="D76" s="76"/>
      <c r="E76" s="76"/>
      <c r="F76" s="76"/>
      <c r="G76" s="76"/>
      <c r="H76" s="76"/>
      <c r="I76" s="76"/>
    </row>
    <row r="77" spans="2:9">
      <c r="B77" s="76"/>
      <c r="C77" s="76"/>
      <c r="D77" s="76"/>
      <c r="E77" s="76"/>
      <c r="F77" s="76"/>
      <c r="G77" s="76"/>
      <c r="H77" s="76"/>
      <c r="I77" s="76"/>
    </row>
    <row r="78" spans="2:9">
      <c r="B78" s="76"/>
      <c r="C78" s="76"/>
      <c r="D78" s="76"/>
      <c r="E78" s="76"/>
      <c r="F78" s="76"/>
      <c r="G78" s="76"/>
      <c r="H78" s="76"/>
      <c r="I78" s="76"/>
    </row>
    <row r="79" spans="2:9">
      <c r="B79" s="76"/>
      <c r="C79" s="76"/>
      <c r="D79" s="76"/>
      <c r="E79" s="76"/>
      <c r="F79" s="76"/>
      <c r="G79" s="76"/>
      <c r="H79" s="76"/>
      <c r="I79" s="76"/>
    </row>
    <row r="80" spans="2:9">
      <c r="B80" s="76"/>
      <c r="C80" s="76"/>
      <c r="D80" s="76"/>
      <c r="E80" s="76"/>
      <c r="F80" s="76"/>
      <c r="G80" s="76"/>
      <c r="H80" s="76"/>
      <c r="I80" s="76"/>
    </row>
    <row r="81" spans="2:9">
      <c r="B81" s="76"/>
      <c r="C81" s="76"/>
      <c r="D81" s="76"/>
      <c r="E81" s="76"/>
      <c r="F81" s="76"/>
      <c r="G81" s="76"/>
      <c r="H81" s="76"/>
      <c r="I81" s="76"/>
    </row>
    <row r="82" spans="2:9">
      <c r="B82" s="76"/>
      <c r="C82" s="76"/>
      <c r="D82" s="76"/>
      <c r="E82" s="76"/>
      <c r="F82" s="76"/>
      <c r="G82" s="76"/>
      <c r="H82" s="76"/>
      <c r="I82" s="76"/>
    </row>
    <row r="83" spans="2:9">
      <c r="B83" s="76"/>
      <c r="C83" s="76"/>
      <c r="D83" s="76"/>
      <c r="E83" s="76"/>
      <c r="F83" s="76"/>
      <c r="G83" s="76"/>
      <c r="H83" s="76"/>
      <c r="I83" s="76"/>
    </row>
    <row r="84" spans="2:9">
      <c r="B84" s="76"/>
      <c r="C84" s="76"/>
      <c r="D84" s="76"/>
      <c r="E84" s="76"/>
      <c r="F84" s="76"/>
      <c r="G84" s="76"/>
      <c r="H84" s="76"/>
      <c r="I84" s="76"/>
    </row>
    <row r="85" spans="2:9">
      <c r="B85" s="76"/>
      <c r="C85" s="76"/>
      <c r="D85" s="76"/>
      <c r="E85" s="76"/>
      <c r="F85" s="76"/>
      <c r="G85" s="76"/>
      <c r="H85" s="76"/>
      <c r="I85" s="76"/>
    </row>
  </sheetData>
  <mergeCells count="22">
    <mergeCell ref="D22:F22"/>
    <mergeCell ref="B23:G26"/>
    <mergeCell ref="A34:I34"/>
    <mergeCell ref="D14:F14"/>
    <mergeCell ref="D15:F15"/>
    <mergeCell ref="D16:F16"/>
    <mergeCell ref="D17:F17"/>
    <mergeCell ref="D18:F18"/>
    <mergeCell ref="D19:F19"/>
    <mergeCell ref="G7:H7"/>
    <mergeCell ref="B8:D8"/>
    <mergeCell ref="F8:I8"/>
    <mergeCell ref="B10:D10"/>
    <mergeCell ref="F10:I10"/>
    <mergeCell ref="B11:D11"/>
    <mergeCell ref="F11:I11"/>
    <mergeCell ref="A1:I1"/>
    <mergeCell ref="B2:D2"/>
    <mergeCell ref="B3:D3"/>
    <mergeCell ref="B4:C4"/>
    <mergeCell ref="B5:C5"/>
    <mergeCell ref="B6:C6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견적서양식-KR0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Myungchan Kim</dc:creator>
  <cp:lastModifiedBy>Myungchan Kim</cp:lastModifiedBy>
  <dcterms:created xsi:type="dcterms:W3CDTF">2025-11-19T02:28:54Z</dcterms:created>
  <dcterms:modified xsi:type="dcterms:W3CDTF">2025-11-19T02:29:19Z</dcterms:modified>
</cp:coreProperties>
</file>